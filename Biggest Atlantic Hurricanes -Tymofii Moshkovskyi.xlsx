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Technician LeepTalant\Week 1. Day 3\"/>
    </mc:Choice>
  </mc:AlternateContent>
  <xr:revisionPtr revIDLastSave="0" documentId="8_{28E526EE-C21C-4FE3-9D5C-FEE2DDE1DEF1}" xr6:coauthVersionLast="47" xr6:coauthVersionMax="47" xr10:uidLastSave="{00000000-0000-0000-0000-000000000000}"/>
  <bookViews>
    <workbookView xWindow="38280" yWindow="-2205" windowWidth="38640" windowHeight="211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4" i="1"/>
  <c r="F5" i="1" a="1"/>
  <c r="F5" i="1"/>
  <c r="F6" i="1" a="1"/>
  <c r="F6" i="1"/>
  <c r="F7" i="1" a="1"/>
  <c r="F7" i="1"/>
  <c r="F8" i="1" a="1"/>
  <c r="F8" i="1" s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 s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 s="1"/>
  <c r="F25" i="1" a="1"/>
  <c r="F25" i="1"/>
  <c r="F4" i="1" a="1"/>
  <c r="F4" i="1" s="1"/>
  <c r="E25" i="1" a="1"/>
  <c r="E25" i="1"/>
  <c r="E5" i="1" a="1"/>
  <c r="E5" i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/>
  <c r="E12" i="1" a="1"/>
  <c r="E12" i="1" s="1"/>
  <c r="E13" i="1" a="1"/>
  <c r="E13" i="1"/>
  <c r="E14" i="1" a="1"/>
  <c r="E14" i="1"/>
  <c r="E15" i="1" a="1"/>
  <c r="E15" i="1"/>
  <c r="E16" i="1" a="1"/>
  <c r="E16" i="1" s="1"/>
  <c r="E17" i="1" a="1"/>
  <c r="E17" i="1" s="1"/>
  <c r="E18" i="1" a="1"/>
  <c r="E18" i="1"/>
  <c r="E19" i="1" a="1"/>
  <c r="E19" i="1"/>
  <c r="E20" i="1" a="1"/>
  <c r="E20" i="1" s="1"/>
  <c r="E21" i="1" a="1"/>
  <c r="E21" i="1"/>
  <c r="E22" i="1" a="1"/>
  <c r="E22" i="1"/>
  <c r="E23" i="1" a="1"/>
  <c r="E23" i="1"/>
  <c r="E24" i="1" a="1"/>
  <c r="E24" i="1" s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<sst xmlns="http://schemas.openxmlformats.org/spreadsheetml/2006/main" count="54" uniqueCount="54">
  <si>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</si>
  <si>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</si>
  <si>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</si>
  <si>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</si>
  <si>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</si>
  <si>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</si>
  <si>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</si>
  <si>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</si>
  <si>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</si>
  <si>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</si>
  <si>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</si>
  <si>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</si>
  <si>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</si>
  <si>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</si>
  <si>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</si>
  <si>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</si>
  <si>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</si>
  <si>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</si>
  <si>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</si>
  <si>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</si>
  <si>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</si>
  <si>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</si>
  <si>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</si>
  <si>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</si>
  <si>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</si>
  <si>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</si>
  <si>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</si>
  <si>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</si>
  <si>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</si>
  <si>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</si>
  <si>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</si>
  <si>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</si>
  <si>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</si>
  <si>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</si>
  <si>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</si>
  <si>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</si>
  <si>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</si>
  <si>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</si>
  <si>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</si>
  <si>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</si>
  <si>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</si>
  <si>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</si>
  <si>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</si>
  <si>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</si>
  <si>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</si>
  <si>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</si>
  <si>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</si>
  <si>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</si>
  <si>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</si>
  <si>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</si>
  <si>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</si>
  <si>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</si>
  <si>
    <t>ifs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</si>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</sst>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9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3" fillId="0" borderId="0" xfId="3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3" applyAlignment="1">
      <alignment horizontal="center" wrapText="1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H16" sqref="H16"/>
    </sheetView>
  </sheetViews>
  <sheetFormatPr defaultRowHeight="14.5" x14ac:dyDescent="0.35"/>
  <cols>
    <col min="1" max="1" width="18.7265625" customWidth="1"/>
    <col min="2" max="2" width="22.453125" bestFit="1" customWidth="1"/>
    <col min="3" max="3" width="15" customWidth="1"/>
    <col min="4" max="4" width="9.81640625" bestFit="1" customWidth="1"/>
    <col min="5" max="5" width="17.1796875" style="7" bestFit="1" customWidth="1"/>
    <col min="6" max="6" width="12.453125" style="7" customWidth="1"/>
    <col min="7" max="7" width="12" style="7" customWidth="1"/>
    <col min="8" max="8" width="24" bestFit="1" customWidth="1"/>
    <col min="9" max="9" width="26" bestFit="1" customWidth="1"/>
  </cols>
  <sheetData>
    <row r="1" spans="1:9" ht="23.5" x14ac:dyDescent="0.55000000000000004">
      <c r="A1" s="2" t="s">
        <v>0</v>
      </c>
    </row>
    <row r="3" spans="1:9" ht="44.25" customHeight="1" thickBot="1" x14ac:dyDescent="0.4">
      <c r="A3" s="5" t="s">
        <v>1</v>
      </c>
      <c r="B3" s="5" t="s">
        <v>2</v>
      </c>
      <c r="C3" s="5" t="s">
        <v>3</v>
      </c>
      <c r="D3" s="5" t="s">
        <v>4</v>
      </c>
      <c r="E3" s="8" t="s">
        <v>5</v>
      </c>
      <c r="F3" s="6" t="s">
        <v>52</v>
      </c>
      <c r="G3" s="6" t="s">
        <v>53</v>
      </c>
    </row>
    <row r="4" spans="1:9" x14ac:dyDescent="0.35">
      <c r="A4" t="s">
        <v>6</v>
      </c>
      <c r="B4" t="s">
        <v>7</v>
      </c>
      <c r="C4" s="3">
        <v>12</v>
      </c>
      <c r="D4">
        <v>3</v>
      </c>
      <c r="E4" s="7" cm="1">
        <f t="array" ref="E4">_xlfn.SWITCH(D4, 1, 95, 2, 110, 3, 129, 4, 156, 5, "157 and over", "Unknown Category")</f>
        <v>129</v>
      </c>
      <c r="F4" s="7" cm="1">
        <f t="array" ref="F4">_xlfn.IFS(D4=1, 95, D4=2, 110, D4=3, 129, D4=4,156, D4=5, "157 and over")</f>
        <v>129</v>
      </c>
      <c r="G4" s="7">
        <f>VLOOKUP(D4, $H$5:$I$10, 2, FALSE)</f>
        <v>129</v>
      </c>
      <c r="H4" t="s">
        <v>8</v>
      </c>
    </row>
    <row r="5" spans="1:9" x14ac:dyDescent="0.35">
      <c r="A5" t="s">
        <v>9</v>
      </c>
      <c r="B5" t="s">
        <v>10</v>
      </c>
      <c r="C5" s="3">
        <v>1</v>
      </c>
      <c r="D5">
        <v>3</v>
      </c>
      <c r="E5" s="7" cm="1">
        <f t="array" ref="E5">_xlfn.SWITCH(D5, 1, 95, 2, 110, 3, 129, 4, 156, 5, "157 and over", "Unknown Category")</f>
        <v>129</v>
      </c>
      <c r="F5" s="7" cm="1">
        <f t="array" ref="F5">_xlfn.IFS(D5=1, 95, D5=2, 110, D5=3, 129, D5=4,156, D5=5, "157 and over")</f>
        <v>129</v>
      </c>
      <c r="G5" s="7">
        <f t="shared" ref="G5:G25" si="0">VLOOKUP(D5, $H$5:$I$10, 2, FALSE)</f>
        <v>129</v>
      </c>
      <c r="H5" s="1" t="s">
        <v>11</v>
      </c>
      <c r="I5" s="1" t="s">
        <v>12</v>
      </c>
    </row>
    <row r="6" spans="1:9" x14ac:dyDescent="0.35">
      <c r="A6" t="s">
        <v>13</v>
      </c>
      <c r="B6" t="s">
        <v>14</v>
      </c>
      <c r="C6" s="3">
        <v>5</v>
      </c>
      <c r="D6">
        <v>4</v>
      </c>
      <c r="E6" s="7" cm="1">
        <f t="array" ref="E6">_xlfn.SWITCH(D6, 1, 95, 2, 110, 3, 129, 4, 156, 5, "157 and over", "Unknown Category")</f>
        <v>156</v>
      </c>
      <c r="F6" s="7" cm="1">
        <f t="array" ref="F6">_xlfn.IFS(D6=1, 95, D6=2, 110, D6=3, 129, D6=4,156, D6=5, "157 and over")</f>
        <v>156</v>
      </c>
      <c r="G6" s="7">
        <f t="shared" si="0"/>
        <v>156</v>
      </c>
      <c r="H6">
        <v>5</v>
      </c>
      <c r="I6" t="s">
        <v>15</v>
      </c>
    </row>
    <row r="7" spans="1:9" x14ac:dyDescent="0.35">
      <c r="A7" t="s">
        <v>16</v>
      </c>
      <c r="B7" t="s">
        <v>17</v>
      </c>
      <c r="C7" s="3">
        <v>20</v>
      </c>
      <c r="D7">
        <v>4</v>
      </c>
      <c r="E7" s="7" cm="1">
        <f t="array" ref="E7">_xlfn.SWITCH(D7, 1, 95, 2, 110, 3, 129, 4, 156, 5, "157 and over", "Unknown Category")</f>
        <v>156</v>
      </c>
      <c r="F7" s="7" cm="1">
        <f t="array" ref="F7">_xlfn.IFS(D7=1, 95, D7=2, 110, D7=3, 129, D7=4,156, D7=5, "157 and over")</f>
        <v>156</v>
      </c>
      <c r="G7" s="7">
        <f t="shared" si="0"/>
        <v>156</v>
      </c>
      <c r="H7">
        <v>4</v>
      </c>
      <c r="I7" s="4">
        <v>156</v>
      </c>
    </row>
    <row r="8" spans="1:9" x14ac:dyDescent="0.35">
      <c r="A8" t="s">
        <v>18</v>
      </c>
      <c r="B8" t="s">
        <v>19</v>
      </c>
      <c r="C8" s="3">
        <v>20</v>
      </c>
      <c r="D8">
        <v>4</v>
      </c>
      <c r="E8" s="7" cm="1">
        <f t="array" ref="E8">_xlfn.SWITCH(D8, 1, 95, 2, 110, 3, 129, 4, 156, 5, "157 and over", "Unknown Category")</f>
        <v>156</v>
      </c>
      <c r="F8" s="7" cm="1">
        <f t="array" ref="F8">_xlfn.IFS(D8=1, 95, D8=2, 110, D8=3, 129, D8=4,156, D8=5, "157 and over")</f>
        <v>156</v>
      </c>
      <c r="G8" s="7">
        <f t="shared" si="0"/>
        <v>156</v>
      </c>
      <c r="H8">
        <v>3</v>
      </c>
      <c r="I8" s="4">
        <v>129</v>
      </c>
    </row>
    <row r="9" spans="1:9" x14ac:dyDescent="0.35">
      <c r="A9" t="s">
        <v>20</v>
      </c>
      <c r="B9" t="s">
        <v>21</v>
      </c>
      <c r="C9" s="3">
        <v>50</v>
      </c>
      <c r="D9">
        <v>3</v>
      </c>
      <c r="E9" s="7" cm="1">
        <f t="array" ref="E9">_xlfn.SWITCH(D9, 1, 95, 2, 110, 3, 129, 4, 156, 5, "157 and over", "Unknown Category")</f>
        <v>129</v>
      </c>
      <c r="F9" s="7" cm="1">
        <f t="array" ref="F9">_xlfn.IFS(D9=1, 95, D9=2, 110, D9=3, 129, D9=4,156, D9=5, "157 and over")</f>
        <v>129</v>
      </c>
      <c r="G9" s="7">
        <f t="shared" si="0"/>
        <v>129</v>
      </c>
      <c r="H9">
        <v>2</v>
      </c>
      <c r="I9" s="4">
        <v>110</v>
      </c>
    </row>
    <row r="10" spans="1:9" x14ac:dyDescent="0.35">
      <c r="A10" t="s">
        <v>22</v>
      </c>
      <c r="B10" t="s">
        <v>23</v>
      </c>
      <c r="C10" s="3">
        <v>100</v>
      </c>
      <c r="D10">
        <v>5</v>
      </c>
      <c r="E10" s="7" t="str" cm="1">
        <f t="array" ref="E10">_xlfn.SWITCH(D10, 1, 95, 2, 110, 3, 129, 4, 156, 5, "157 and over", "Unknown Category")</f>
        <v>157 and over</v>
      </c>
      <c r="F10" s="7" t="str" cm="1">
        <f t="array" ref="F10">_xlfn.IFS(D10=1, 95, D10=2, 110, D10=3, 129, D10=4,156, D10=5, "157 and over")</f>
        <v>157 and over</v>
      </c>
      <c r="G10" s="7" t="str">
        <f t="shared" si="0"/>
        <v>157 and over</v>
      </c>
      <c r="H10">
        <v>1</v>
      </c>
      <c r="I10" s="4">
        <v>95</v>
      </c>
    </row>
    <row r="11" spans="1:9" x14ac:dyDescent="0.35">
      <c r="A11" t="s">
        <v>24</v>
      </c>
      <c r="B11" t="s">
        <v>25</v>
      </c>
      <c r="C11" s="3">
        <v>50</v>
      </c>
      <c r="D11">
        <v>4</v>
      </c>
      <c r="E11" s="7" cm="1">
        <f t="array" ref="E11">_xlfn.SWITCH(D11, 1, 95, 2, 110, 3, 129, 4, 156, 5, "157 and over", "Unknown Category")</f>
        <v>156</v>
      </c>
      <c r="F11" s="7" cm="1">
        <f t="array" ref="F11">_xlfn.IFS(D11=1, 95, D11=2, 110, D11=3, 129, D11=4,156, D11=5, "157 and over")</f>
        <v>156</v>
      </c>
      <c r="G11" s="7">
        <f t="shared" si="0"/>
        <v>156</v>
      </c>
    </row>
    <row r="12" spans="1:9" x14ac:dyDescent="0.35">
      <c r="A12" t="s">
        <v>26</v>
      </c>
      <c r="B12" t="s">
        <v>27</v>
      </c>
      <c r="C12" s="3">
        <v>7.5</v>
      </c>
      <c r="D12">
        <v>4</v>
      </c>
      <c r="E12" s="7" cm="1">
        <f t="array" ref="E12">_xlfn.SWITCH(D12, 1, 95, 2, 110, 3, 129, 4, 156, 5, "157 and over", "Unknown Category")</f>
        <v>156</v>
      </c>
      <c r="F12" s="7" cm="1">
        <f t="array" ref="F12">_xlfn.IFS(D12=1, 95, D12=2, 110, D12=3, 129, D12=4,156, D12=5, "157 and over")</f>
        <v>156</v>
      </c>
      <c r="G12" s="7">
        <f t="shared" si="0"/>
        <v>156</v>
      </c>
    </row>
    <row r="13" spans="1:9" x14ac:dyDescent="0.35">
      <c r="A13" t="s">
        <v>28</v>
      </c>
      <c r="B13" t="s">
        <v>29</v>
      </c>
      <c r="C13" s="3">
        <v>40</v>
      </c>
      <c r="D13">
        <v>5</v>
      </c>
      <c r="E13" s="7" t="str" cm="1">
        <f t="array" ref="E13">_xlfn.SWITCH(D13, 1, 95, 2, 110, 3, 129, 4, 156, 5, "157 and over", "Unknown Category")</f>
        <v>157 and over</v>
      </c>
      <c r="F13" s="7" t="str" cm="1">
        <f t="array" ref="F13">_xlfn.IFS(D13=1, 95, D13=2, 110, D13=3, 129, D13=4,156, D13=5, "157 and over")</f>
        <v>157 and over</v>
      </c>
      <c r="G13" s="7" t="str">
        <f t="shared" si="0"/>
        <v>157 and over</v>
      </c>
    </row>
    <row r="14" spans="1:9" x14ac:dyDescent="0.35">
      <c r="A14" t="s">
        <v>30</v>
      </c>
      <c r="B14" t="s">
        <v>31</v>
      </c>
      <c r="C14" s="3">
        <v>2.6</v>
      </c>
      <c r="D14">
        <v>2</v>
      </c>
      <c r="E14" s="7" cm="1">
        <f t="array" ref="E14">_xlfn.SWITCH(D14, 1, 95, 2, 110, 3, 129, 4, 156, 5, "157 and over", "Unknown Category")</f>
        <v>110</v>
      </c>
      <c r="F14" s="7" cm="1">
        <f t="array" ref="F14">_xlfn.IFS(D14=1, 95, D14=2, 110, D14=3, 129, D14=4,156, D14=5, "157 and over")</f>
        <v>110</v>
      </c>
      <c r="G14" s="7">
        <f t="shared" si="0"/>
        <v>110</v>
      </c>
    </row>
    <row r="15" spans="1:9" x14ac:dyDescent="0.35">
      <c r="A15" t="s">
        <v>32</v>
      </c>
      <c r="B15" t="s">
        <v>33</v>
      </c>
      <c r="C15" s="3">
        <v>16</v>
      </c>
      <c r="D15">
        <v>1</v>
      </c>
      <c r="E15" s="7" cm="1">
        <f t="array" ref="E15">_xlfn.SWITCH(D15, 1, 95, 2, 110, 3, 129, 4, 156, 5, "157 and over", "Unknown Category")</f>
        <v>95</v>
      </c>
      <c r="F15" s="7" cm="1">
        <f t="array" ref="F15">_xlfn.IFS(D15=1, 95, D15=2, 110, D15=3, 129, D15=4,156, D15=5, "157 and over")</f>
        <v>95</v>
      </c>
      <c r="G15" s="7">
        <f t="shared" si="0"/>
        <v>95</v>
      </c>
    </row>
    <row r="16" spans="1:9" x14ac:dyDescent="0.35">
      <c r="A16" t="s">
        <v>34</v>
      </c>
      <c r="B16" t="s">
        <v>35</v>
      </c>
      <c r="C16" s="3">
        <v>529</v>
      </c>
      <c r="D16">
        <v>4</v>
      </c>
      <c r="E16" s="7" cm="1">
        <f t="array" ref="E16">_xlfn.SWITCH(D16, 1, 95, 2, 110, 3, 129, 4, 156, 5, "157 and over", "Unknown Category")</f>
        <v>156</v>
      </c>
      <c r="F16" s="7" cm="1">
        <f t="array" ref="F16">_xlfn.IFS(D16=1, 95, D16=2, 110, D16=3, 129, D16=4,156, D16=5, "157 and over")</f>
        <v>156</v>
      </c>
      <c r="G16" s="7">
        <f t="shared" si="0"/>
        <v>156</v>
      </c>
    </row>
    <row r="17" spans="1:7" x14ac:dyDescent="0.35">
      <c r="A17" t="s">
        <v>36</v>
      </c>
      <c r="B17" t="s">
        <v>37</v>
      </c>
      <c r="C17" s="3">
        <v>1800</v>
      </c>
      <c r="D17">
        <v>2</v>
      </c>
      <c r="E17" s="7" cm="1">
        <f t="array" ref="E17">_xlfn.SWITCH(D17, 1, 95, 2, 110, 3, 129, 4, 156, 5, "157 and over", "Unknown Category")</f>
        <v>110</v>
      </c>
      <c r="F17" s="7" cm="1">
        <f t="array" ref="F17">_xlfn.IFS(D17=1, 95, D17=2, 110, D17=3, 129, D17=4,156, D17=5, "157 and over")</f>
        <v>110</v>
      </c>
      <c r="G17" s="7">
        <f t="shared" si="0"/>
        <v>110</v>
      </c>
    </row>
    <row r="18" spans="1:7" x14ac:dyDescent="0.35">
      <c r="A18" t="s">
        <v>38</v>
      </c>
      <c r="B18" t="s">
        <v>39</v>
      </c>
      <c r="C18" s="3">
        <v>1540</v>
      </c>
      <c r="D18">
        <v>5</v>
      </c>
      <c r="E18" s="7" t="str" cm="1">
        <f t="array" ref="E18">_xlfn.SWITCH(D18, 1, 95, 2, 110, 3, 129, 4, 156, 5, "157 and over", "Unknown Category")</f>
        <v>157 and over</v>
      </c>
      <c r="F18" s="7" t="str" cm="1">
        <f t="array" ref="F18">_xlfn.IFS(D18=1, 95, D18=2, 110, D18=3, 129, D18=4,156, D18=5, "157 and over")</f>
        <v>157 and over</v>
      </c>
      <c r="G18" s="7" t="str">
        <f t="shared" si="0"/>
        <v>157 and over</v>
      </c>
    </row>
    <row r="19" spans="1:7" x14ac:dyDescent="0.35">
      <c r="A19" t="s">
        <v>40</v>
      </c>
      <c r="B19" t="s">
        <v>41</v>
      </c>
      <c r="C19" s="3">
        <v>594</v>
      </c>
      <c r="D19">
        <v>1</v>
      </c>
      <c r="E19" s="7" cm="1">
        <f t="array" ref="E19">_xlfn.SWITCH(D19, 1, 95, 2, 110, 3, 129, 4, 156, 5, "157 and over", "Unknown Category")</f>
        <v>95</v>
      </c>
      <c r="F19" s="7" cm="1">
        <f t="array" ref="F19">_xlfn.IFS(D19=1, 95, D19=2, 110, D19=3, 129, D19=4,156, D19=5, "157 and over")</f>
        <v>95</v>
      </c>
      <c r="G19" s="7">
        <f t="shared" si="0"/>
        <v>95</v>
      </c>
    </row>
    <row r="20" spans="1:7" x14ac:dyDescent="0.35">
      <c r="A20" t="s">
        <v>42</v>
      </c>
      <c r="B20" t="s">
        <v>43</v>
      </c>
      <c r="C20" s="3">
        <v>6200</v>
      </c>
      <c r="D20">
        <v>5</v>
      </c>
      <c r="E20" s="7" t="str" cm="1">
        <f t="array" ref="E20">_xlfn.SWITCH(D20, 1, 95, 2, 110, 3, 129, 4, 156, 5, "157 and over", "Unknown Category")</f>
        <v>157 and over</v>
      </c>
      <c r="F20" s="7" t="str" cm="1">
        <f t="array" ref="F20">_xlfn.IFS(D20=1, 95, D20=2, 110, D20=3, 129, D20=4,156, D20=5, "157 and over")</f>
        <v>157 and over</v>
      </c>
      <c r="G20" s="7" t="str">
        <f t="shared" si="0"/>
        <v>157 and over</v>
      </c>
    </row>
    <row r="21" spans="1:7" x14ac:dyDescent="0.35">
      <c r="A21" t="s">
        <v>44</v>
      </c>
      <c r="B21" t="s">
        <v>45</v>
      </c>
      <c r="C21" s="3">
        <v>7660</v>
      </c>
      <c r="D21">
        <v>3</v>
      </c>
      <c r="E21" s="7" cm="1">
        <f t="array" ref="E21">_xlfn.SWITCH(D21, 1, 95, 2, 110, 3, 129, 4, 156, 5, "157 and over", "Unknown Category")</f>
        <v>129</v>
      </c>
      <c r="F21" s="7" cm="1">
        <f t="array" ref="F21">_xlfn.IFS(D21=1, 95, D21=2, 110, D21=3, 129, D21=4,156, D21=5, "157 and over")</f>
        <v>129</v>
      </c>
      <c r="G21" s="7">
        <f t="shared" si="0"/>
        <v>129</v>
      </c>
    </row>
    <row r="22" spans="1:7" x14ac:dyDescent="0.35">
      <c r="A22" t="s">
        <v>46</v>
      </c>
      <c r="B22" t="s">
        <v>47</v>
      </c>
      <c r="C22" s="3">
        <v>108000</v>
      </c>
      <c r="D22">
        <v>5</v>
      </c>
      <c r="E22" s="7" t="str" cm="1">
        <f t="array" ref="E22">_xlfn.SWITCH(D22, 1, 95, 2, 110, 3, 129, 4, 156, 5, "157 and over", "Unknown Category")</f>
        <v>157 and over</v>
      </c>
      <c r="F22" s="7" t="str" cm="1">
        <f t="array" ref="F22">_xlfn.IFS(D22=1, 95, D22=2, 110, D22=3, 129, D22=4,156, D22=5, "157 and over")</f>
        <v>157 and over</v>
      </c>
      <c r="G22" s="7" t="str">
        <f t="shared" si="0"/>
        <v>157 and over</v>
      </c>
    </row>
    <row r="23" spans="1:7" x14ac:dyDescent="0.35">
      <c r="A23" t="s">
        <v>48</v>
      </c>
      <c r="B23" t="s">
        <v>49</v>
      </c>
      <c r="C23" s="3">
        <v>3960</v>
      </c>
      <c r="D23">
        <v>1</v>
      </c>
      <c r="E23" s="7" cm="1">
        <f t="array" ref="E23">_xlfn.SWITCH(D23, 1, 95, 2, 110, 3, 129, 4, 156, 5, "157 and over", "Unknown Category")</f>
        <v>95</v>
      </c>
      <c r="F23" s="7" cm="1">
        <f t="array" ref="F23">_xlfn.IFS(D23=1, 95, D23=2, 110, D23=3, 129, D23=4,156, D23=5, "157 and over")</f>
        <v>95</v>
      </c>
      <c r="G23" s="7">
        <f t="shared" si="0"/>
        <v>95</v>
      </c>
    </row>
    <row r="24" spans="1:7" x14ac:dyDescent="0.35">
      <c r="A24" t="s">
        <v>50</v>
      </c>
      <c r="B24" t="s">
        <v>51</v>
      </c>
      <c r="C24" s="3">
        <v>300000</v>
      </c>
      <c r="D24">
        <v>5</v>
      </c>
      <c r="E24" s="7" t="str" cm="1">
        <f t="array" ref="E24">_xlfn.SWITCH(D24, 1, 95, 2, 110, 3, 129, 4, 156, 5, "157 and over", "Unknown Category")</f>
        <v>157 and over</v>
      </c>
      <c r="F24" s="7" t="str" cm="1">
        <f t="array" ref="F24">_xlfn.IFS(D24=1, 95, D24=2, 110, D24=3, 129, D24=4,156, D24=5, "157 and over")</f>
        <v>157 and over</v>
      </c>
      <c r="G24" s="7" t="str">
        <f t="shared" si="0"/>
        <v>157 and over</v>
      </c>
    </row>
    <row r="25" spans="1:7" x14ac:dyDescent="0.35">
      <c r="C25" s="3"/>
      <c r="D25">
        <v>10</v>
      </c>
      <c r="E25" s="7" t="str" cm="1">
        <f t="array" ref="E25">_xlfn.SWITCH(D25, 1, 95, 2, 110, 3, 129, 4, 156, 5, "157 and over", "Unknown Category")</f>
        <v>Unknown Category</v>
      </c>
      <c r="F25" s="7" t="e" cm="1">
        <f t="array" ref="F25">_xlfn.IFS(D25=1, 95, D25=2, 110, D25=3, 129, D25=4,156, D25=5, "157 and over")</f>
        <v>#N/A</v>
      </c>
      <c r="G25" s="7" t="e">
        <f t="shared" si="0"/>
        <v>#N/A</v>
      </c>
    </row>
    <row r="26" spans="1:7" x14ac:dyDescent="0.35">
      <c r="C26" s="3"/>
    </row>
    <row r="27" spans="1:7" x14ac:dyDescent="0.35">
      <c r="C27" s="3"/>
    </row>
    <row r="28" spans="1:7" x14ac:dyDescent="0.35">
      <c r="C28" s="3"/>
    </row>
    <row r="29" spans="1:7" x14ac:dyDescent="0.35">
      <c r="C29" s="3"/>
    </row>
    <row r="30" spans="1:7" x14ac:dyDescent="0.35">
      <c r="C30" s="3"/>
    </row>
    <row r="31" spans="1:7" x14ac:dyDescent="0.35">
      <c r="C31" s="3"/>
    </row>
    <row r="32" spans="1:7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DA10D2-1FFF-490D-B4DA-8729470684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4E24B2-8FB1-41D6-A0B3-EA0C5EC94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1056E9-45E7-4EE1-B8ED-748AFD022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ED2CD7-AB5E-404D-849A-F793ABBC6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Biggest Atlantic Hurricanes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Tymofii Moshkovskyi</cp:lastModifiedBy>
  <cp:revision/>
  <dcterms:created xsi:type="dcterms:W3CDTF">2017-10-17T14:59:20Z</dcterms:created>
  <dcterms:modified xsi:type="dcterms:W3CDTF">2026-09-17T09:04:58Z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